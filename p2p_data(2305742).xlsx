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2P Procurement Data" sheetId="1" state="visible" r:id="rId3"/>
    <sheet name="Vendor Analysis" sheetId="2" state="visible" r:id="rId4"/>
    <sheet name="Monthly Trend" sheetId="3" state="visible" r:id="rId5"/>
    <sheet name="Material-wise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<sst xmlns="http://schemas.openxmlformats.org/spreadsheetml/2006/main" count="72" uniqueCount="34">
  <si>
    <t xml:space="preserve">Procure-to-Pay (P2P) Procurement Data — ABC Manufacturing Ltd</t>
  </si>
  <si>
    <t xml:space="preserve">Vendor</t>
  </si>
  <si>
    <t xml:space="preserve">Material</t>
  </si>
  <si>
    <t xml:space="preserve">Quantity</t>
  </si>
  <si>
    <t xml:space="preserve">Unit Price (₹)</t>
  </si>
  <si>
    <t xml:space="preserve">Total Amount (₹)</t>
  </si>
  <si>
    <t xml:space="preserve">Month</t>
  </si>
  <si>
    <t xml:space="preserve">ABC Suppliers</t>
  </si>
  <si>
    <t xml:space="preserve">Steel Rod</t>
  </si>
  <si>
    <t xml:space="preserve">Jan</t>
  </si>
  <si>
    <t xml:space="preserve">XYZ Metals</t>
  </si>
  <si>
    <t xml:space="preserve">Feb</t>
  </si>
  <si>
    <t xml:space="preserve">Mar</t>
  </si>
  <si>
    <t xml:space="preserve">PQR Traders</t>
  </si>
  <si>
    <t xml:space="preserve">Apr</t>
  </si>
  <si>
    <t xml:space="preserve">Copper Wire</t>
  </si>
  <si>
    <t xml:space="preserve">Iron Sheet</t>
  </si>
  <si>
    <t xml:space="preserve">TOTAL</t>
  </si>
  <si>
    <t xml:space="preserve">Vendor-wise Procurement Analysis — ABC Manufacturing Ltd</t>
  </si>
  <si>
    <t xml:space="preserve">Total Procurement (₹)</t>
  </si>
  <si>
    <t xml:space="preserve">Contribution %</t>
  </si>
  <si>
    <t xml:space="preserve">Avg Unit Price (₹)</t>
  </si>
  <si>
    <t xml:space="preserve">No. of Orders</t>
  </si>
  <si>
    <t xml:space="preserve">100.0%</t>
  </si>
  <si>
    <t xml:space="preserve">Procurement Pivot Summary</t>
  </si>
  <si>
    <t xml:space="preserve">Sum of Total (₹)</t>
  </si>
  <si>
    <t xml:space="preserve">% of Grand Total</t>
  </si>
  <si>
    <t xml:space="preserve">Grand Total</t>
  </si>
  <si>
    <t xml:space="preserve">Monthly Procurement Trend — ABC Manufacturing Ltd</t>
  </si>
  <si>
    <t xml:space="preserve">Total Spending (₹)</t>
  </si>
  <si>
    <t xml:space="preserve">Avg Order Value (₹)</t>
  </si>
  <si>
    <t xml:space="preserve">Material-wise Procurement Analysis — ABC Manufacturing Ltd</t>
  </si>
  <si>
    <t xml:space="preserve">Total Spend (₹)</t>
  </si>
  <si>
    <t xml:space="preserve">Total Qty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</si>
</sst>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\%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BF3FB"/>
        <bgColor rgb="FFF9F9F9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D6EAF8"/>
        <bgColor rgb="FFD6E4F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Vendor-wise Procurement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'Vendor Analysis'!B3</c:f>
              <c:strCache>
                <c:ptCount val="1"/>
                <c:pt idx="0">
                  <c:v>Total Procurement (₹)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'Vendor Analysis'!$A$4:$A$6</c:f>
              <c:strCache>
                <c:ptCount val="3"/>
                <c:pt idx="0">
                  <c:v>ABC Suppliers</c:v>
                </c:pt>
                <c:pt idx="1">
                  <c:v>XYZ Metals</c:v>
                </c:pt>
                <c:pt idx="2">
                  <c:v>PQR Traders</c:v>
                </c:pt>
              </c:strCache>
            </c:strRef>
          </c:cat>
          <c:val>
            <c:numRef>
              <c:f>'Vendor Analysis'!$B$4:$B$6</c:f>
              <c:numCache>
                <c:formatCode>#,##0</c:formatCode>
                <c:ptCount val="3"/>
                <c:pt idx="0">
                  <c:v>237700</c:v>
                </c:pt>
                <c:pt idx="1">
                  <c:v>81600</c:v>
                </c:pt>
                <c:pt idx="2">
                  <c:v>88000</c:v>
                </c:pt>
              </c:numCache>
            </c:numRef>
          </c:val>
        </c:ser>
        <c:gapWidth val="150"/>
        <c:overlap val="0"/>
        <c:axId val="10816870"/>
        <c:axId val="54001698"/>
      </c:barChart>
      <c:catAx>
        <c:axId val="108168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01698"/>
        <c:crosses val="autoZero"/>
        <c:auto val="1"/>
        <c:lblAlgn val="ctr"/>
        <c:lblOffset val="100"/>
        <c:noMultiLvlLbl val="0"/>
      </c:catAx>
      <c:valAx>
        <c:axId val="54001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168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Procurement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Spending (₹)</c:v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Trend'!$A$4:$A$7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'Monthly Trend'!$B$4:$B$7</c:f>
              <c:numCache>
                <c:formatCode>#,##0</c:formatCode>
                <c:ptCount val="4"/>
                <c:pt idx="0">
                  <c:v>120400</c:v>
                </c:pt>
                <c:pt idx="1">
                  <c:v>99000</c:v>
                </c:pt>
                <c:pt idx="2">
                  <c:v>117300</c:v>
                </c:pt>
                <c:pt idx="3">
                  <c:v>70600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777119"/>
        <c:axId val="16195936"/>
      </c:lineChart>
      <c:catAx>
        <c:axId val="96777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95936"/>
        <c:crosses val="autoZero"/>
        <c:auto val="1"/>
        <c:lblAlgn val="ctr"/>
        <c:lblOffset val="100"/>
        <c:noMultiLvlLbl val="0"/>
      </c:catAx>
      <c:valAx>
        <c:axId val="16195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77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Material-wise Total Spend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'Material-wise Analysis'!B3</c:f>
              <c:strCache>
                <c:ptCount val="1"/>
                <c:pt idx="0">
                  <c:v>Total Spend (₹)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'Material-wise Analysis'!$A$4:$A$6</c:f>
              <c:strCache>
                <c:ptCount val="3"/>
                <c:pt idx="0">
                  <c:v>Steel Rod</c:v>
                </c:pt>
                <c:pt idx="1">
                  <c:v>Copper Wire</c:v>
                </c:pt>
                <c:pt idx="2">
                  <c:v>Iron Sheet</c:v>
                </c:pt>
              </c:strCache>
            </c:strRef>
          </c:cat>
          <c:val>
            <c:numRef>
              <c:f>'Material-wise Analysis'!$B$4:$B$6</c:f>
              <c:numCache>
                <c:formatCode>#,##0</c:formatCode>
                <c:ptCount val="3"/>
                <c:pt idx="0">
                  <c:v>181000</c:v>
                </c:pt>
                <c:pt idx="1">
                  <c:v>97400</c:v>
                </c:pt>
                <c:pt idx="2">
                  <c:v>128900</c:v>
                </c:pt>
              </c:numCache>
            </c:numRef>
          </c:val>
        </c:ser>
        <c:gapWidth val="150"/>
        <c:overlap val="0"/>
        <c:axId val="7889493"/>
        <c:axId val="39344627"/>
      </c:barChart>
      <c:catAx>
        <c:axId val="7889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Material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44627"/>
        <c:crosses val="autoZero"/>
        <c:auto val="1"/>
        <c:lblAlgn val="ctr"/>
        <c:lblOffset val="100"/>
        <c:noMultiLvlLbl val="0"/>
      </c:catAx>
      <c:valAx>
        <c:axId val="39344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Spend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9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82800</xdr:colOff>
      <xdr:row>19</xdr:row>
      <xdr:rowOff>73440</xdr:rowOff>
    </xdr:to>
    <xdr:graphicFrame>
      <xdr:nvGraphicFramePr>
        <xdr:cNvPr id="0" name="Chart 1"/>
        <xdr:cNvGraphicFramePr/>
      </xdr:nvGraphicFramePr>
      <xdr:xfrm>
        <a:off x="7189560" y="352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364680</xdr:colOff>
      <xdr:row>20</xdr:row>
      <xdr:rowOff>101880</xdr:rowOff>
    </xdr:to>
    <xdr:graphicFrame>
      <xdr:nvGraphicFramePr>
        <xdr:cNvPr id="1" name="Chart 1"/>
        <xdr:cNvGraphicFramePr/>
      </xdr:nvGraphicFramePr>
      <xdr:xfrm>
        <a:off x="5686560" y="352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20</xdr:row>
      <xdr:rowOff>140040</xdr:rowOff>
    </xdr:to>
    <xdr:graphicFrame>
      <xdr:nvGraphicFramePr>
        <xdr:cNvPr id="2" name="Chart 1"/>
        <xdr:cNvGraphicFramePr/>
      </xdr:nvGraphicFramePr>
      <xdr:xfrm>
        <a:off x="6673320" y="352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8" hidden="false" customHeight="true" outlineLevel="0" collapsed="false">
      <c r="A4" s="3" t="s">
        <v>7</v>
      </c>
      <c r="B4" s="3" t="s">
        <v>8</v>
      </c>
      <c r="C4" s="4" t="n">
        <v>100</v>
      </c>
      <c r="D4" s="5" t="n">
        <v>500</v>
      </c>
      <c r="E4" s="5" t="n">
        <f aca="false">C4*D4</f>
        <v>50000</v>
      </c>
      <c r="F4" s="3" t="s">
        <v>9</v>
      </c>
    </row>
    <row r="5" customFormat="false" ht="18" hidden="false" customHeight="true" outlineLevel="0" collapsed="false">
      <c r="A5" s="6" t="s">
        <v>10</v>
      </c>
      <c r="B5" s="6" t="s">
        <v>8</v>
      </c>
      <c r="C5" s="7" t="n">
        <v>80</v>
      </c>
      <c r="D5" s="8" t="n">
        <v>520</v>
      </c>
      <c r="E5" s="8" t="n">
        <f aca="false">C5*D5</f>
        <v>41600</v>
      </c>
      <c r="F5" s="6" t="s">
        <v>11</v>
      </c>
    </row>
    <row r="6" customFormat="false" ht="18" hidden="false" customHeight="true" outlineLevel="0" collapsed="false">
      <c r="A6" s="3" t="s">
        <v>7</v>
      </c>
      <c r="B6" s="3" t="s">
        <v>8</v>
      </c>
      <c r="C6" s="4" t="n">
        <v>120</v>
      </c>
      <c r="D6" s="5" t="n">
        <v>490</v>
      </c>
      <c r="E6" s="5" t="n">
        <f aca="false">C6*D6</f>
        <v>58800</v>
      </c>
      <c r="F6" s="3" t="s">
        <v>12</v>
      </c>
    </row>
    <row r="7" customFormat="false" ht="18" hidden="false" customHeight="true" outlineLevel="0" collapsed="false">
      <c r="A7" s="6" t="s">
        <v>13</v>
      </c>
      <c r="B7" s="6" t="s">
        <v>8</v>
      </c>
      <c r="C7" s="7" t="n">
        <v>60</v>
      </c>
      <c r="D7" s="8" t="n">
        <v>510</v>
      </c>
      <c r="E7" s="8" t="n">
        <f aca="false">C7*D7</f>
        <v>30600</v>
      </c>
      <c r="F7" s="6" t="s">
        <v>14</v>
      </c>
    </row>
    <row r="8" customFormat="false" ht="18" hidden="false" customHeight="true" outlineLevel="0" collapsed="false">
      <c r="A8" s="3" t="s">
        <v>10</v>
      </c>
      <c r="B8" s="3" t="s">
        <v>15</v>
      </c>
      <c r="C8" s="4" t="n">
        <v>50</v>
      </c>
      <c r="D8" s="5" t="n">
        <v>800</v>
      </c>
      <c r="E8" s="5" t="n">
        <f aca="false">C8*D8</f>
        <v>40000</v>
      </c>
      <c r="F8" s="3" t="s">
        <v>14</v>
      </c>
    </row>
    <row r="9" customFormat="false" ht="18" hidden="false" customHeight="true" outlineLevel="0" collapsed="false">
      <c r="A9" s="6" t="s">
        <v>7</v>
      </c>
      <c r="B9" s="6" t="s">
        <v>16</v>
      </c>
      <c r="C9" s="7" t="n">
        <v>90</v>
      </c>
      <c r="D9" s="8" t="n">
        <v>650</v>
      </c>
      <c r="E9" s="8" t="n">
        <f aca="false">C9*D9</f>
        <v>58500</v>
      </c>
      <c r="F9" s="6" t="s">
        <v>12</v>
      </c>
    </row>
    <row r="10" customFormat="false" ht="18" hidden="false" customHeight="true" outlineLevel="0" collapsed="false">
      <c r="A10" s="3" t="s">
        <v>13</v>
      </c>
      <c r="B10" s="3" t="s">
        <v>15</v>
      </c>
      <c r="C10" s="4" t="n">
        <v>70</v>
      </c>
      <c r="D10" s="5" t="n">
        <v>820</v>
      </c>
      <c r="E10" s="5" t="n">
        <f aca="false">C10*D10</f>
        <v>57400</v>
      </c>
      <c r="F10" s="3" t="s">
        <v>11</v>
      </c>
    </row>
    <row r="11" customFormat="false" ht="18" hidden="false" customHeight="true" outlineLevel="0" collapsed="false">
      <c r="A11" s="6" t="s">
        <v>7</v>
      </c>
      <c r="B11" s="6" t="s">
        <v>16</v>
      </c>
      <c r="C11" s="7" t="n">
        <v>110</v>
      </c>
      <c r="D11" s="8" t="n">
        <v>640</v>
      </c>
      <c r="E11" s="8" t="n">
        <f aca="false">C11*D11</f>
        <v>70400</v>
      </c>
      <c r="F11" s="6" t="s">
        <v>9</v>
      </c>
    </row>
    <row r="12" customFormat="false" ht="15" hidden="false" customHeight="false" outlineLevel="0" collapsed="false">
      <c r="A12" s="9" t="s">
        <v>17</v>
      </c>
      <c r="B12" s="9"/>
      <c r="C12" s="9" t="n">
        <f aca="false">SUM(C4:C11)</f>
        <v>680</v>
      </c>
      <c r="D12" s="10" t="n">
        <f aca="false">AVERAGE(D4:D11)</f>
        <v>616.25</v>
      </c>
      <c r="E12" s="10" t="n">
        <f aca="false">SUM(E4:E11)</f>
        <v>407300</v>
      </c>
      <c r="F12" s="9"/>
    </row>
  </sheetData>
  <mergeCells count="1">
    <mergeCell ref="A1:F1"/>
  </mergeCells>
  <conditionalFormatting sqref="D4:D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4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  <c r="B3" s="2" t="s">
        <v>19</v>
      </c>
      <c r="C3" s="2" t="s">
        <v>20</v>
      </c>
      <c r="D3" s="2" t="s">
        <v>21</v>
      </c>
      <c r="E3" s="2" t="s">
        <v>22</v>
      </c>
    </row>
    <row r="4" customFormat="false" ht="18" hidden="false" customHeight="true" outlineLevel="0" collapsed="false">
      <c r="A4" s="3" t="s">
        <v>7</v>
      </c>
      <c r="B4" s="5" t="n">
        <f aca="false">SUMIF('P2P Procurement Data'!A4:A11,A4,'P2P Procurement Data'!E4:E11)</f>
        <v>237700</v>
      </c>
      <c r="C4" s="11" t="n">
        <f aca="false">B4/SUM($B$4:$B$6)*100</f>
        <v>58.3599312546035</v>
      </c>
      <c r="D4" s="5" t="n">
        <f aca="false">AVERAGEIF('P2P Procurement Data'!A4:A11,A4,'P2P Procurement Data'!D4:D11)</f>
        <v>570</v>
      </c>
      <c r="E4" s="4" t="n">
        <f aca="false">COUNTIF('P2P Procurement Data'!A4:A11,A4)</f>
        <v>4</v>
      </c>
    </row>
    <row r="5" customFormat="false" ht="18" hidden="false" customHeight="true" outlineLevel="0" collapsed="false">
      <c r="A5" s="12" t="s">
        <v>10</v>
      </c>
      <c r="B5" s="13" t="n">
        <f aca="false">SUMIF('P2P Procurement Data'!A4:A11,A5,'P2P Procurement Data'!E4:E11)</f>
        <v>81600</v>
      </c>
      <c r="C5" s="14" t="n">
        <f aca="false">B5/SUM($B$4:$B$6)*100</f>
        <v>20.0343726982568</v>
      </c>
      <c r="D5" s="13" t="n">
        <f aca="false">AVERAGEIF('P2P Procurement Data'!A4:A11,A5,'P2P Procurement Data'!D4:D11)</f>
        <v>660</v>
      </c>
      <c r="E5" s="15" t="n">
        <f aca="false">COUNTIF('P2P Procurement Data'!A4:A11,A5)</f>
        <v>2</v>
      </c>
    </row>
    <row r="6" customFormat="false" ht="18" hidden="false" customHeight="true" outlineLevel="0" collapsed="false">
      <c r="A6" s="16" t="s">
        <v>13</v>
      </c>
      <c r="B6" s="17" t="n">
        <f aca="false">SUMIF('P2P Procurement Data'!A4:A11,A6,'P2P Procurement Data'!E4:E11)</f>
        <v>88000</v>
      </c>
      <c r="C6" s="18" t="n">
        <f aca="false">B6/SUM($B$4:$B$6)*100</f>
        <v>21.6056960471397</v>
      </c>
      <c r="D6" s="17" t="n">
        <f aca="false">AVERAGEIF('P2P Procurement Data'!A4:A11,A6,'P2P Procurement Data'!D4:D11)</f>
        <v>665</v>
      </c>
      <c r="E6" s="19" t="n">
        <f aca="false">COUNTIF('P2P Procurement Data'!A4:A11,A6)</f>
        <v>2</v>
      </c>
    </row>
    <row r="7" customFormat="false" ht="15" hidden="false" customHeight="false" outlineLevel="0" collapsed="false">
      <c r="A7" s="9" t="s">
        <v>17</v>
      </c>
      <c r="B7" s="10" t="n">
        <f aca="false">SUM(B4:B6)</f>
        <v>407300</v>
      </c>
      <c r="C7" s="9" t="s">
        <v>23</v>
      </c>
      <c r="D7" s="9"/>
      <c r="E7" s="9" t="n">
        <f aca="false">SUM(E4:E6)</f>
        <v>8</v>
      </c>
    </row>
    <row r="9" customFormat="false" ht="21.75" hidden="false" customHeight="true" outlineLevel="0" collapsed="false">
      <c r="A9" s="20" t="s">
        <v>24</v>
      </c>
      <c r="B9" s="20"/>
      <c r="C9" s="20"/>
    </row>
    <row r="10" customFormat="false" ht="19.5" hidden="false" customHeight="true" outlineLevel="0" collapsed="false">
      <c r="A10" s="21" t="s">
        <v>1</v>
      </c>
      <c r="B10" s="21" t="s">
        <v>25</v>
      </c>
      <c r="C10" s="21" t="s">
        <v>26</v>
      </c>
    </row>
    <row r="11" customFormat="false" ht="18" hidden="false" customHeight="true" outlineLevel="0" collapsed="false">
      <c r="A11" s="3" t="s">
        <v>7</v>
      </c>
      <c r="B11" s="5" t="n">
        <f aca="false">SUMIF('P2P Procurement Data'!A4:A11,A11,'P2P Procurement Data'!E4:E11)</f>
        <v>237700</v>
      </c>
      <c r="C11" s="11" t="n">
        <f aca="false">B11/SUM($B$11:$B$13)*100</f>
        <v>58.3599312546035</v>
      </c>
    </row>
    <row r="12" customFormat="false" ht="18" hidden="false" customHeight="true" outlineLevel="0" collapsed="false">
      <c r="A12" s="12" t="s">
        <v>10</v>
      </c>
      <c r="B12" s="13" t="n">
        <f aca="false">SUMIF('P2P Procurement Data'!A4:A11,A12,'P2P Procurement Data'!E4:E11)</f>
        <v>81600</v>
      </c>
      <c r="C12" s="14" t="n">
        <f aca="false">B12/SUM($B$11:$B$13)*100</f>
        <v>20.0343726982568</v>
      </c>
    </row>
    <row r="13" customFormat="false" ht="18" hidden="false" customHeight="true" outlineLevel="0" collapsed="false">
      <c r="A13" s="16" t="s">
        <v>13</v>
      </c>
      <c r="B13" s="17" t="n">
        <f aca="false">SUMIF('P2P Procurement Data'!A4:A11,A13,'P2P Procurement Data'!E4:E11)</f>
        <v>88000</v>
      </c>
      <c r="C13" s="18" t="n">
        <f aca="false">B13/SUM($B$11:$B$13)*100</f>
        <v>21.6056960471397</v>
      </c>
    </row>
    <row r="14" customFormat="false" ht="15" hidden="false" customHeight="false" outlineLevel="0" collapsed="false">
      <c r="A14" s="9" t="s">
        <v>27</v>
      </c>
      <c r="B14" s="10" t="n">
        <f aca="false">SUM(B11:B13)</f>
        <v>407300</v>
      </c>
      <c r="C14" s="9" t="s">
        <v>23</v>
      </c>
    </row>
  </sheetData>
  <mergeCells count="2">
    <mergeCell ref="A1:E1"/>
    <mergeCell ref="A9:C9"/>
  </mergeCells>
  <conditionalFormatting sqref="B4:B6">
    <cfRule type="colorScale" priority="2">
      <colorScale>
        <cfvo type="min" val="0"/>
        <cfvo type="percentile" val="50"/>
        <cfvo type="max" val="0"/>
        <color rgb="FFC6EFCE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1" t="s">
        <v>28</v>
      </c>
      <c r="B1" s="1"/>
      <c r="C1" s="1"/>
      <c r="D1" s="1"/>
    </row>
    <row r="3" customFormat="false" ht="21.75" hidden="false" customHeight="true" outlineLevel="0" collapsed="false">
      <c r="A3" s="2" t="s">
        <v>6</v>
      </c>
      <c r="B3" s="2" t="s">
        <v>29</v>
      </c>
      <c r="C3" s="2" t="s">
        <v>22</v>
      </c>
      <c r="D3" s="2" t="s">
        <v>30</v>
      </c>
    </row>
    <row r="4" customFormat="false" ht="18" hidden="false" customHeight="true" outlineLevel="0" collapsed="false">
      <c r="A4" s="3" t="s">
        <v>9</v>
      </c>
      <c r="B4" s="5" t="n">
        <f aca="false">SUMIF('P2P Procurement Data'!F4:F11,A4,'P2P Procurement Data'!E4:E11)</f>
        <v>120400</v>
      </c>
      <c r="C4" s="4" t="n">
        <f aca="false">COUNTIF('P2P Procurement Data'!F4:F11,A4)</f>
        <v>2</v>
      </c>
      <c r="D4" s="5" t="n">
        <f aca="false">IF(C4&gt;0,B4/C4,0)</f>
        <v>60200</v>
      </c>
    </row>
    <row r="5" customFormat="false" ht="18" hidden="false" customHeight="true" outlineLevel="0" collapsed="false">
      <c r="A5" s="12" t="s">
        <v>11</v>
      </c>
      <c r="B5" s="13" t="n">
        <f aca="false">SUMIF('P2P Procurement Data'!F4:F11,A5,'P2P Procurement Data'!E4:E11)</f>
        <v>99000</v>
      </c>
      <c r="C5" s="15" t="n">
        <f aca="false">COUNTIF('P2P Procurement Data'!F4:F11,A5)</f>
        <v>2</v>
      </c>
      <c r="D5" s="13" t="n">
        <f aca="false">IF(C5&gt;0,B5/C5,0)</f>
        <v>49500</v>
      </c>
    </row>
    <row r="6" customFormat="false" ht="18" hidden="false" customHeight="true" outlineLevel="0" collapsed="false">
      <c r="A6" s="3" t="s">
        <v>12</v>
      </c>
      <c r="B6" s="5" t="n">
        <f aca="false">SUMIF('P2P Procurement Data'!F4:F11,A6,'P2P Procurement Data'!E4:E11)</f>
        <v>117300</v>
      </c>
      <c r="C6" s="4" t="n">
        <f aca="false">COUNTIF('P2P Procurement Data'!F4:F11,A6)</f>
        <v>2</v>
      </c>
      <c r="D6" s="5" t="n">
        <f aca="false">IF(C6&gt;0,B6/C6,0)</f>
        <v>58650</v>
      </c>
    </row>
    <row r="7" customFormat="false" ht="18" hidden="false" customHeight="true" outlineLevel="0" collapsed="false">
      <c r="A7" s="12" t="s">
        <v>14</v>
      </c>
      <c r="B7" s="13" t="n">
        <f aca="false">SUMIF('P2P Procurement Data'!F4:F11,A7,'P2P Procurement Data'!E4:E11)</f>
        <v>70600</v>
      </c>
      <c r="C7" s="15" t="n">
        <f aca="false">COUNTIF('P2P Procurement Data'!F4:F11,A7)</f>
        <v>2</v>
      </c>
      <c r="D7" s="13" t="n">
        <f aca="false">IF(C7&gt;0,B7/C7,0)</f>
        <v>35300</v>
      </c>
    </row>
    <row r="8" customFormat="false" ht="15" hidden="false" customHeight="false" outlineLevel="0" collapsed="false">
      <c r="A8" s="9" t="s">
        <v>17</v>
      </c>
      <c r="B8" s="10" t="n">
        <f aca="false">SUM(B4:B7)</f>
        <v>407300</v>
      </c>
      <c r="C8" s="9" t="n">
        <f aca="false">SUM(C4:C7)</f>
        <v>8</v>
      </c>
      <c r="D8" s="9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31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2</v>
      </c>
      <c r="B3" s="2" t="s">
        <v>32</v>
      </c>
      <c r="C3" s="2" t="s">
        <v>33</v>
      </c>
      <c r="D3" s="2" t="s">
        <v>21</v>
      </c>
      <c r="E3" s="2" t="s">
        <v>22</v>
      </c>
    </row>
    <row r="4" customFormat="false" ht="18" hidden="false" customHeight="true" outlineLevel="0" collapsed="false">
      <c r="A4" s="3" t="s">
        <v>8</v>
      </c>
      <c r="B4" s="5" t="n">
        <f aca="false">SUMIF('P2P Procurement Data'!B4:B11,A4,'P2P Procurement Data'!E4:E11)</f>
        <v>181000</v>
      </c>
      <c r="C4" s="4" t="n">
        <f aca="false">SUMIF('P2P Procurement Data'!B4:B11,A4,'P2P Procurement Data'!C4:C11)</f>
        <v>360</v>
      </c>
      <c r="D4" s="5" t="n">
        <f aca="false">AVERAGEIF('P2P Procurement Data'!B4:B11,A4,'P2P Procurement Data'!D4:D11)</f>
        <v>505</v>
      </c>
      <c r="E4" s="4" t="n">
        <f aca="false">COUNTIF('P2P Procurement Data'!B4:B11,A4)</f>
        <v>4</v>
      </c>
    </row>
    <row r="5" customFormat="false" ht="18" hidden="false" customHeight="true" outlineLevel="0" collapsed="false">
      <c r="A5" s="12" t="s">
        <v>15</v>
      </c>
      <c r="B5" s="13" t="n">
        <f aca="false">SUMIF('P2P Procurement Data'!B4:B11,A5,'P2P Procurement Data'!E4:E11)</f>
        <v>97400</v>
      </c>
      <c r="C5" s="15" t="n">
        <f aca="false">SUMIF('P2P Procurement Data'!B4:B11,A5,'P2P Procurement Data'!C4:C11)</f>
        <v>120</v>
      </c>
      <c r="D5" s="13" t="n">
        <f aca="false">AVERAGEIF('P2P Procurement Data'!B4:B11,A5,'P2P Procurement Data'!D4:D11)</f>
        <v>810</v>
      </c>
      <c r="E5" s="15" t="n">
        <f aca="false">COUNTIF('P2P Procurement Data'!B4:B11,A5)</f>
        <v>2</v>
      </c>
    </row>
    <row r="6" customFormat="false" ht="18" hidden="false" customHeight="true" outlineLevel="0" collapsed="false">
      <c r="A6" s="3" t="s">
        <v>16</v>
      </c>
      <c r="B6" s="5" t="n">
        <f aca="false">SUMIF('P2P Procurement Data'!B4:B11,A6,'P2P Procurement Data'!E4:E11)</f>
        <v>128900</v>
      </c>
      <c r="C6" s="4" t="n">
        <f aca="false">SUMIF('P2P Procurement Data'!B4:B11,A6,'P2P Procurement Data'!C4:C11)</f>
        <v>200</v>
      </c>
      <c r="D6" s="5" t="n">
        <f aca="false">AVERAGEIF('P2P Procurement Data'!B4:B11,A6,'P2P Procurement Data'!D4:D11)</f>
        <v>645</v>
      </c>
      <c r="E6" s="4" t="n">
        <f aca="false">COUNTIF('P2P Procurement Data'!B4:B11,A6)</f>
        <v>2</v>
      </c>
    </row>
    <row r="7" customFormat="false" ht="15" hidden="false" customHeight="false" outlineLevel="0" collapsed="false">
      <c r="A7" s="9" t="s">
        <v>17</v>
      </c>
      <c r="B7" s="10" t="n">
        <f aca="false">SUM(B4:B6)</f>
        <v>407300</v>
      </c>
      <c r="C7" s="9" t="n">
        <f aca="false">SUM(C4:C6)</f>
        <v>680</v>
      </c>
      <c r="D7" s="9"/>
      <c r="E7" s="9" t="n">
        <f aca="false">SUM(E4:E6)</f>
        <v>8</v>
      </c>
    </row>
  </sheetData>
  <mergeCells count="1">
    <mergeCell ref="A1:E1"/>
  </mergeCells>
  <conditionalFormatting sqref="B4:B6">
    <cfRule type="colorScale" priority="2">
      <colorScale>
        <cfvo type="min" val="0"/>
        <cfvo type="percentile" val="50"/>
        <cfvo type="max" val="0"/>
        <color rgb="FFC6EFCE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2026-04-19T14:53:44Z</dcterms:created>
  <dc:creator>openpyxl</dc:creator>
  <dc:description/>
  <dc:language>en-US</dc:language>
  <cp:lastModifiedBy/>
  <dcterms:modified xsi:type="dcterms:W3CDTF">2026-04-19T14:53:51Z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